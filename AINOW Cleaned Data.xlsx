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S BOLARINWA O A\Desktop\"/>
    </mc:Choice>
  </mc:AlternateContent>
  <xr:revisionPtr revIDLastSave="0" documentId="8_{8ADF172E-4DBB-4705-BE30-ECE9B4CAE36D}" xr6:coauthVersionLast="47" xr6:coauthVersionMax="47" xr10:uidLastSave="{00000000-0000-0000-0000-000000000000}"/>
  <bookViews>
    <workbookView xWindow="-120" yWindow="-120" windowWidth="20730" windowHeight="11160" xr2:uid="{FF877941-0DBD-4584-9EB7-AF9EFB39E68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1" i="1" l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L8" i="1"/>
  <c r="I8" i="1"/>
  <c r="L7" i="1"/>
  <c r="I7" i="1"/>
  <c r="L6" i="1"/>
  <c r="I6" i="1"/>
  <c r="L5" i="1"/>
  <c r="I5" i="1"/>
  <c r="I4" i="1"/>
  <c r="I3" i="1"/>
  <c r="I2" i="1"/>
  <c r="L4" i="1" s="1"/>
</calcChain>
</file>

<file path=xl/sharedStrings.xml><?xml version="1.0" encoding="utf-8"?>
<sst xmlns="http://schemas.openxmlformats.org/spreadsheetml/2006/main" count="514" uniqueCount="56">
  <si>
    <t>Date</t>
  </si>
  <si>
    <t>Region</t>
  </si>
  <si>
    <t>Product</t>
  </si>
  <si>
    <t>Category</t>
  </si>
  <si>
    <t>Unit Sold</t>
  </si>
  <si>
    <t>Unit Price</t>
  </si>
  <si>
    <t>Sales Rep</t>
  </si>
  <si>
    <t>Customer</t>
  </si>
  <si>
    <t>Revenue</t>
  </si>
  <si>
    <t>South</t>
  </si>
  <si>
    <t>Laptop A15</t>
  </si>
  <si>
    <t>Computers</t>
  </si>
  <si>
    <t>Peter Obi</t>
  </si>
  <si>
    <t>Bright Solutions</t>
  </si>
  <si>
    <t>East</t>
  </si>
  <si>
    <t>Tv 43Q</t>
  </si>
  <si>
    <t>Electronics</t>
  </si>
  <si>
    <t>Ifeanyi Okafor</t>
  </si>
  <si>
    <t>Musa Enterprises</t>
  </si>
  <si>
    <t>North</t>
  </si>
  <si>
    <t>Phone X12</t>
  </si>
  <si>
    <t>Mobile</t>
  </si>
  <si>
    <t>Fola Balogun</t>
  </si>
  <si>
    <t>Zainab Global</t>
  </si>
  <si>
    <t>Total Revenue</t>
  </si>
  <si>
    <t>Monitor M24</t>
  </si>
  <si>
    <t>Peripherals</t>
  </si>
  <si>
    <t>Jide Superstores</t>
  </si>
  <si>
    <t>Total count of product</t>
  </si>
  <si>
    <t>West</t>
  </si>
  <si>
    <t>Chika Mart</t>
  </si>
  <si>
    <t>Total no of sales rep</t>
  </si>
  <si>
    <t>Total no of customers</t>
  </si>
  <si>
    <t>Aisha Bello</t>
  </si>
  <si>
    <t>Total Unit Sold</t>
  </si>
  <si>
    <t>Camera C100</t>
  </si>
  <si>
    <t>Photography</t>
  </si>
  <si>
    <t>Tablet T8</t>
  </si>
  <si>
    <t>Alpha Retailers</t>
  </si>
  <si>
    <t>Speaker S10</t>
  </si>
  <si>
    <t>Audio</t>
  </si>
  <si>
    <t>Omega Wholesale</t>
  </si>
  <si>
    <t>Kelvin Tech</t>
  </si>
  <si>
    <t>Chinedu Nwosu</t>
  </si>
  <si>
    <t>Emeka Traders</t>
  </si>
  <si>
    <t>Tola Ventures</t>
  </si>
  <si>
    <t>Mary John</t>
  </si>
  <si>
    <t>Grace Amos</t>
  </si>
  <si>
    <t>Femi Tech</t>
  </si>
  <si>
    <t>Maryam Ltd</t>
  </si>
  <si>
    <t>Job Austin</t>
  </si>
  <si>
    <t xml:space="preserve">Tope &amp; Sons </t>
  </si>
  <si>
    <t>Aba Joel</t>
  </si>
  <si>
    <t>Praise Odunayo</t>
  </si>
  <si>
    <t>Adewale Stores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</si>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</sst>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164" fontId="3" fillId="2" borderId="2" xfId="0" applyNumberFormat="1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15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164" fontId="0" fillId="0" borderId="0" xfId="0" applyNumberFormat="1"/>
    <xf numFmtId="0" fontId="4" fillId="0" borderId="0" xfId="0" applyFont="1"/>
    <xf numFmtId="164" fontId="2" fillId="0" borderId="0" xfId="0" applyNumberFormat="1" applyFont="1"/>
    <xf numFmtId="0" fontId="2" fillId="0" borderId="0" xfId="0" applyFont="1"/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11">
    <dxf>
      <numFmt numFmtId="164" formatCode="&quot;$&quot;#,##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&quot;$&quot;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0" formatCode="d\-mmm\-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RS%20BOLARINWA%20O%20A\Desktop\Final%20Project%20(1)_c60c5c9c0b338da38ada063644d11a18.xlsx" TargetMode="External"/><Relationship Id="rId1" Type="http://schemas.openxmlformats.org/officeDocument/2006/relationships/externalLinkPath" Target="Final%20Project%20(1)_c60c5c9c0b338da38ada063644d11a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Raw Data"/>
      <sheetName val="Pivot Tables"/>
      <sheetName val="Clean Data"/>
      <sheetName val="DASHBOARD"/>
      <sheetName val="Pivots "/>
      <sheetName val="Cleaned Data"/>
      <sheetName val="working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Peter Obi</v>
          </cell>
        </row>
        <row r="3">
          <cell r="G3" t="str">
            <v>Ifeanyi Okafor</v>
          </cell>
        </row>
        <row r="4">
          <cell r="G4" t="str">
            <v>Fola Balogun</v>
          </cell>
        </row>
        <row r="5">
          <cell r="G5" t="str">
            <v>Ifeanyi Okafor</v>
          </cell>
        </row>
        <row r="6">
          <cell r="G6" t="str">
            <v>Peter Obi</v>
          </cell>
        </row>
        <row r="7">
          <cell r="G7" t="str">
            <v>Ifeanyi Okafor</v>
          </cell>
        </row>
        <row r="8">
          <cell r="G8" t="str">
            <v>Aisha Bello</v>
          </cell>
        </row>
        <row r="9">
          <cell r="G9" t="str">
            <v>Peter Obi</v>
          </cell>
        </row>
        <row r="10">
          <cell r="G10" t="str">
            <v>Fola Balogun</v>
          </cell>
        </row>
        <row r="11">
          <cell r="G11" t="str">
            <v>Peter Obi</v>
          </cell>
        </row>
        <row r="12">
          <cell r="G12" t="str">
            <v>Fola Balogun</v>
          </cell>
        </row>
        <row r="13">
          <cell r="G13" t="str">
            <v>Aisha Bello</v>
          </cell>
        </row>
        <row r="14">
          <cell r="G14" t="str">
            <v>Aisha Bello</v>
          </cell>
        </row>
        <row r="15">
          <cell r="G15" t="str">
            <v>Chinedu Nwosu</v>
          </cell>
        </row>
        <row r="16">
          <cell r="G16" t="str">
            <v>Ifeanyi Okafor</v>
          </cell>
        </row>
        <row r="17">
          <cell r="G17" t="str">
            <v>Chinedu Nwosu</v>
          </cell>
        </row>
        <row r="18">
          <cell r="G18" t="str">
            <v>Fola Balogun</v>
          </cell>
        </row>
        <row r="19">
          <cell r="G19" t="str">
            <v>Mary John</v>
          </cell>
        </row>
        <row r="20">
          <cell r="G20" t="str">
            <v>Grace Amos</v>
          </cell>
        </row>
        <row r="21">
          <cell r="G21" t="str">
            <v>Chinedu Nwosu</v>
          </cell>
        </row>
        <row r="22">
          <cell r="G22" t="str">
            <v>Grace Amos</v>
          </cell>
        </row>
        <row r="23">
          <cell r="G23" t="str">
            <v>Peter Obi</v>
          </cell>
        </row>
        <row r="24">
          <cell r="G24" t="str">
            <v>Fola Balogun</v>
          </cell>
        </row>
        <row r="25">
          <cell r="G25" t="str">
            <v>Ifeanyi Okafor</v>
          </cell>
        </row>
        <row r="26">
          <cell r="G26" t="str">
            <v>Grace Amos</v>
          </cell>
        </row>
        <row r="27">
          <cell r="G27" t="str">
            <v>Chinedu Nwosu</v>
          </cell>
        </row>
        <row r="28">
          <cell r="G28" t="str">
            <v>Grace Amos</v>
          </cell>
        </row>
        <row r="29">
          <cell r="G29" t="str">
            <v>Chinedu Nwosu</v>
          </cell>
        </row>
        <row r="30">
          <cell r="G30" t="str">
            <v>Job Austin</v>
          </cell>
        </row>
        <row r="31">
          <cell r="G31" t="str">
            <v>Peter Obi</v>
          </cell>
        </row>
        <row r="32">
          <cell r="G32" t="str">
            <v>Chinedu Nwosu</v>
          </cell>
        </row>
        <row r="33">
          <cell r="G33" t="str">
            <v>Fola Balogun</v>
          </cell>
        </row>
        <row r="34">
          <cell r="G34" t="str">
            <v>Peter Obi</v>
          </cell>
        </row>
        <row r="35">
          <cell r="G35" t="str">
            <v>Peter Obi</v>
          </cell>
        </row>
        <row r="36">
          <cell r="G36" t="str">
            <v>Peter Obi</v>
          </cell>
        </row>
        <row r="37">
          <cell r="G37" t="str">
            <v>Peter Obi</v>
          </cell>
        </row>
        <row r="38">
          <cell r="G38" t="str">
            <v>Mary John</v>
          </cell>
        </row>
        <row r="39">
          <cell r="G39" t="str">
            <v>Grace Amos</v>
          </cell>
        </row>
        <row r="40">
          <cell r="G40" t="str">
            <v>Mary John</v>
          </cell>
        </row>
        <row r="41">
          <cell r="G41" t="str">
            <v>Aba Joel</v>
          </cell>
        </row>
        <row r="42">
          <cell r="G42" t="str">
            <v>Mary John</v>
          </cell>
        </row>
        <row r="43">
          <cell r="G43" t="str">
            <v>Aisha Bello</v>
          </cell>
        </row>
        <row r="44">
          <cell r="G44" t="str">
            <v>Mary John</v>
          </cell>
        </row>
        <row r="45">
          <cell r="G45" t="str">
            <v>Ifeanyi Okafor</v>
          </cell>
        </row>
        <row r="46">
          <cell r="G46" t="str">
            <v>Mary John</v>
          </cell>
        </row>
        <row r="47">
          <cell r="G47" t="str">
            <v>Fola Balogun</v>
          </cell>
        </row>
        <row r="48">
          <cell r="G48" t="str">
            <v>Mary John</v>
          </cell>
        </row>
        <row r="49">
          <cell r="G49" t="str">
            <v>Grace Amos</v>
          </cell>
        </row>
        <row r="50">
          <cell r="G50" t="str">
            <v>Praise Odunayo</v>
          </cell>
        </row>
        <row r="51">
          <cell r="G51" t="str">
            <v>Aisha Bello</v>
          </cell>
        </row>
        <row r="52">
          <cell r="G52" t="str">
            <v>Fola Balogun</v>
          </cell>
        </row>
        <row r="53">
          <cell r="G53" t="str">
            <v>Grace Amos</v>
          </cell>
        </row>
        <row r="54">
          <cell r="G54" t="str">
            <v>Aisha Bello</v>
          </cell>
        </row>
        <row r="55">
          <cell r="G55" t="str">
            <v>Chinedu Nwosu</v>
          </cell>
        </row>
        <row r="56">
          <cell r="G56" t="str">
            <v>Ifeanyi Okafor</v>
          </cell>
        </row>
        <row r="57">
          <cell r="G57" t="str">
            <v>Aisha Bello</v>
          </cell>
        </row>
        <row r="58">
          <cell r="G58" t="str">
            <v>Chinedu Nwosu</v>
          </cell>
        </row>
        <row r="59">
          <cell r="G59" t="str">
            <v>Aisha Bello</v>
          </cell>
        </row>
        <row r="60">
          <cell r="G60" t="str">
            <v>Aisha Bello</v>
          </cell>
        </row>
        <row r="61">
          <cell r="G61" t="str">
            <v>Grace Amos</v>
          </cell>
        </row>
        <row r="62">
          <cell r="G62" t="str">
            <v>Aisha Bello</v>
          </cell>
        </row>
        <row r="63">
          <cell r="G63" t="str">
            <v>Chinedu Nwosu</v>
          </cell>
        </row>
        <row r="64">
          <cell r="G64" t="str">
            <v>Chinedu Nwosu</v>
          </cell>
        </row>
        <row r="65">
          <cell r="G65" t="str">
            <v>Aisha Bello</v>
          </cell>
        </row>
        <row r="66">
          <cell r="G66" t="str">
            <v>Fola Balogun</v>
          </cell>
        </row>
        <row r="67">
          <cell r="G67" t="str">
            <v>Chinedu Nwosu</v>
          </cell>
        </row>
        <row r="68">
          <cell r="G68" t="str">
            <v>Ifeanyi Okafor</v>
          </cell>
        </row>
        <row r="69">
          <cell r="G69" t="str">
            <v>Peter Obi</v>
          </cell>
        </row>
        <row r="70">
          <cell r="G70" t="str">
            <v>Chinedu Nwosu</v>
          </cell>
        </row>
        <row r="71">
          <cell r="G71" t="str">
            <v>Grace Amos</v>
          </cell>
        </row>
        <row r="72">
          <cell r="G72" t="str">
            <v>Chinedu Nwosu</v>
          </cell>
        </row>
        <row r="73">
          <cell r="G73" t="str">
            <v>Chinedu Nwosu</v>
          </cell>
        </row>
        <row r="74">
          <cell r="G74" t="str">
            <v>Chinedu Nwosu</v>
          </cell>
        </row>
        <row r="75">
          <cell r="G75" t="str">
            <v>Grace Amos</v>
          </cell>
        </row>
        <row r="76">
          <cell r="G76" t="str">
            <v>Aisha Bello</v>
          </cell>
        </row>
        <row r="77">
          <cell r="G77" t="str">
            <v>Grace Amos</v>
          </cell>
        </row>
        <row r="78">
          <cell r="G78" t="str">
            <v>Mary John</v>
          </cell>
        </row>
        <row r="79">
          <cell r="G79" t="str">
            <v>Fola Balogun</v>
          </cell>
        </row>
        <row r="80">
          <cell r="G80" t="str">
            <v>Ifeanyi Okafor</v>
          </cell>
        </row>
        <row r="81">
          <cell r="G81" t="str">
            <v>Aisha Bello</v>
          </cell>
        </row>
        <row r="82">
          <cell r="G82" t="str">
            <v>Fola Balogun</v>
          </cell>
        </row>
        <row r="83">
          <cell r="G83" t="str">
            <v>Grace Amos</v>
          </cell>
        </row>
        <row r="84">
          <cell r="G84" t="str">
            <v>Grace Amos</v>
          </cell>
        </row>
        <row r="85">
          <cell r="G85" t="str">
            <v>Chinedu Nwosu</v>
          </cell>
        </row>
        <row r="86">
          <cell r="G86" t="str">
            <v>Chinedu Nwosu</v>
          </cell>
        </row>
        <row r="87">
          <cell r="G87" t="str">
            <v>Aisha Bello</v>
          </cell>
        </row>
        <row r="88">
          <cell r="G88" t="str">
            <v>Aisha Bello</v>
          </cell>
        </row>
        <row r="89">
          <cell r="G89" t="str">
            <v>Chinedu Nwosu</v>
          </cell>
        </row>
        <row r="90">
          <cell r="G90" t="str">
            <v>Fola Balogun</v>
          </cell>
        </row>
        <row r="91">
          <cell r="G91" t="str">
            <v>Ifeanyi Okafor</v>
          </cell>
        </row>
        <row r="92">
          <cell r="G92" t="str">
            <v>Fola Balogun</v>
          </cell>
        </row>
        <row r="93">
          <cell r="G93" t="str">
            <v>Mary John</v>
          </cell>
        </row>
        <row r="94">
          <cell r="G94" t="str">
            <v>Mary John</v>
          </cell>
        </row>
        <row r="95">
          <cell r="G95" t="str">
            <v>Grace Amos</v>
          </cell>
        </row>
        <row r="96">
          <cell r="G96" t="str">
            <v>Mary John</v>
          </cell>
        </row>
        <row r="97">
          <cell r="G97" t="str">
            <v>Peter Obi</v>
          </cell>
        </row>
        <row r="98">
          <cell r="G98" t="str">
            <v>Ifeanyi Okafor</v>
          </cell>
        </row>
        <row r="99">
          <cell r="G99" t="str">
            <v>Fola Balogun</v>
          </cell>
        </row>
        <row r="100">
          <cell r="G100" t="str">
            <v>Peter Obi</v>
          </cell>
        </row>
        <row r="101">
          <cell r="G101" t="str">
            <v>Grace Amos</v>
          </cell>
        </row>
      </sheetData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CF3834-7418-41E4-BC79-FEEE57CDB067}" name="Table1" displayName="Table1" ref="A1:I101" totalsRowShown="0" headerRowDxfId="10" tableBorderDxfId="9">
  <autoFilter ref="A1:I101" xr:uid="{95CF3834-7418-41E4-BC79-FEEE57CDB067}"/>
  <tableColumns count="9">
    <tableColumn id="1" xr3:uid="{54A3B296-4B96-4A64-AC58-04581EC979FE}" name="Date" dataDxfId="8"/>
    <tableColumn id="2" xr3:uid="{A5DCF029-FDF7-47DA-9D87-6496FBC90BAE}" name="Region" dataDxfId="7"/>
    <tableColumn id="3" xr3:uid="{2932C032-58AF-4DED-ABD6-835ED0372AB6}" name="Product" dataDxfId="6"/>
    <tableColumn id="4" xr3:uid="{48B678A1-F8F4-4F0F-9F32-92FFB83238B2}" name="Category" dataDxfId="5"/>
    <tableColumn id="5" xr3:uid="{7E2C8A76-D023-457B-84D3-E7F5779AA44D}" name="Unit Sold" dataDxfId="4"/>
    <tableColumn id="6" xr3:uid="{9E737693-B1B2-420B-B806-D4B72DF688C0}" name="Unit Price" dataDxfId="3"/>
    <tableColumn id="7" xr3:uid="{87A42917-A6F2-42E8-88BA-F5C09A407201}" name="Sales Rep" dataDxfId="2"/>
    <tableColumn id="8" xr3:uid="{B54CEBAC-8ABA-43DD-9FA4-33945EA04630}" name="Customer" dataDxfId="1"/>
    <tableColumn id="9" xr3:uid="{78C67861-07CF-44CA-9459-5D460F60E998}" name="Revenue" dataDxfId="0">
      <calculatedColumnFormula>(F2*E2)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DEE3-D148-4A44-8C65-6D10A373795C}">
  <dimension ref="A1:L101"/>
  <sheetViews>
    <sheetView tabSelected="1" workbookViewId="0">
      <selection sqref="A1:N1048576"/>
    </sheetView>
  </sheetViews>
  <sheetFormatPr defaultRowHeight="15" x14ac:dyDescent="0.25"/>
  <cols>
    <col min="1" max="5" width="18.85546875" customWidth="1"/>
    <col min="6" max="6" width="18.85546875" style="8" customWidth="1"/>
    <col min="7" max="8" width="18.85546875" customWidth="1"/>
    <col min="9" max="9" width="15.7109375" bestFit="1" customWidth="1"/>
    <col min="10" max="10" width="3.7109375" customWidth="1"/>
    <col min="11" max="11" width="20.28515625" customWidth="1"/>
    <col min="12" max="12" width="14.8554687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</row>
    <row r="2" spans="1:12" x14ac:dyDescent="0.25">
      <c r="A2" s="5">
        <v>45821</v>
      </c>
      <c r="B2" s="6" t="s">
        <v>9</v>
      </c>
      <c r="C2" s="6" t="s">
        <v>10</v>
      </c>
      <c r="D2" s="6" t="s">
        <v>11</v>
      </c>
      <c r="E2" s="6">
        <v>8</v>
      </c>
      <c r="F2" s="7">
        <v>250000</v>
      </c>
      <c r="G2" s="6" t="s">
        <v>12</v>
      </c>
      <c r="H2" s="6" t="s">
        <v>13</v>
      </c>
      <c r="I2" s="8">
        <f>(F2*E2)</f>
        <v>2000000</v>
      </c>
    </row>
    <row r="3" spans="1:12" x14ac:dyDescent="0.25">
      <c r="A3" s="5">
        <v>45755</v>
      </c>
      <c r="B3" s="6" t="s">
        <v>14</v>
      </c>
      <c r="C3" s="6" t="s">
        <v>15</v>
      </c>
      <c r="D3" s="6" t="s">
        <v>16</v>
      </c>
      <c r="E3" s="6">
        <v>6</v>
      </c>
      <c r="F3" s="7">
        <v>350000</v>
      </c>
      <c r="G3" s="6" t="s">
        <v>17</v>
      </c>
      <c r="H3" s="6" t="s">
        <v>18</v>
      </c>
      <c r="I3" s="8">
        <f t="shared" ref="I3:I66" si="0">(F3*E3)</f>
        <v>2100000</v>
      </c>
    </row>
    <row r="4" spans="1:12" x14ac:dyDescent="0.25">
      <c r="A4" s="5">
        <v>45686</v>
      </c>
      <c r="B4" s="6" t="s">
        <v>19</v>
      </c>
      <c r="C4" s="6" t="s">
        <v>20</v>
      </c>
      <c r="D4" s="6" t="s">
        <v>21</v>
      </c>
      <c r="E4" s="6">
        <v>14</v>
      </c>
      <c r="F4" s="7">
        <v>180000</v>
      </c>
      <c r="G4" s="6" t="s">
        <v>22</v>
      </c>
      <c r="H4" s="6" t="s">
        <v>23</v>
      </c>
      <c r="I4" s="8">
        <f t="shared" si="0"/>
        <v>2520000</v>
      </c>
      <c r="K4" s="9" t="s">
        <v>24</v>
      </c>
      <c r="L4" s="10">
        <f>SUM(I:I)</f>
        <v>217575000</v>
      </c>
    </row>
    <row r="5" spans="1:12" x14ac:dyDescent="0.25">
      <c r="A5" s="5">
        <v>45794</v>
      </c>
      <c r="B5" s="6" t="s">
        <v>9</v>
      </c>
      <c r="C5" s="6" t="s">
        <v>25</v>
      </c>
      <c r="D5" s="6" t="s">
        <v>26</v>
      </c>
      <c r="E5" s="6">
        <v>18</v>
      </c>
      <c r="F5" s="7">
        <v>65000</v>
      </c>
      <c r="G5" s="6" t="s">
        <v>17</v>
      </c>
      <c r="H5" s="6" t="s">
        <v>27</v>
      </c>
      <c r="I5" s="8">
        <f t="shared" si="0"/>
        <v>1170000</v>
      </c>
      <c r="K5" s="9" t="s">
        <v>28</v>
      </c>
      <c r="L5" s="11">
        <f>SUMPRODUCT(1/COUNTIF(C2:C101,C2:C101))</f>
        <v>6.9999999999999947</v>
      </c>
    </row>
    <row r="6" spans="1:12" x14ac:dyDescent="0.25">
      <c r="A6" s="5">
        <v>45685</v>
      </c>
      <c r="B6" s="6" t="s">
        <v>29</v>
      </c>
      <c r="C6" s="6" t="s">
        <v>20</v>
      </c>
      <c r="D6" s="6" t="s">
        <v>21</v>
      </c>
      <c r="E6" s="6">
        <v>5</v>
      </c>
      <c r="F6" s="7">
        <v>180000</v>
      </c>
      <c r="G6" s="6" t="s">
        <v>12</v>
      </c>
      <c r="H6" s="6" t="s">
        <v>30</v>
      </c>
      <c r="I6" s="8">
        <f t="shared" si="0"/>
        <v>900000</v>
      </c>
      <c r="K6" s="9" t="s">
        <v>31</v>
      </c>
      <c r="L6" s="11">
        <f>SUMPRODUCT(1/COUNTIF('[1]Cleaned Data'!G2:G101,G2:G101))</f>
        <v>9.9999999999999964</v>
      </c>
    </row>
    <row r="7" spans="1:12" x14ac:dyDescent="0.25">
      <c r="A7" s="5">
        <v>45803</v>
      </c>
      <c r="B7" s="6" t="s">
        <v>14</v>
      </c>
      <c r="C7" s="6" t="s">
        <v>20</v>
      </c>
      <c r="D7" s="6" t="s">
        <v>21</v>
      </c>
      <c r="E7" s="6">
        <v>19</v>
      </c>
      <c r="F7" s="7">
        <v>180000</v>
      </c>
      <c r="G7" s="6" t="s">
        <v>17</v>
      </c>
      <c r="H7" s="6" t="s">
        <v>18</v>
      </c>
      <c r="I7" s="8">
        <f t="shared" si="0"/>
        <v>3420000</v>
      </c>
      <c r="K7" s="9" t="s">
        <v>32</v>
      </c>
      <c r="L7" s="11">
        <f>SUMPRODUCT(1/COUNTIF(H2:H101,H2:H101))</f>
        <v>13.999999999999995</v>
      </c>
    </row>
    <row r="8" spans="1:12" x14ac:dyDescent="0.25">
      <c r="A8" s="5">
        <v>45783</v>
      </c>
      <c r="B8" s="6" t="s">
        <v>29</v>
      </c>
      <c r="C8" s="6" t="s">
        <v>15</v>
      </c>
      <c r="D8" s="6" t="s">
        <v>16</v>
      </c>
      <c r="E8" s="6">
        <v>3</v>
      </c>
      <c r="F8" s="7">
        <v>350000</v>
      </c>
      <c r="G8" s="6" t="s">
        <v>33</v>
      </c>
      <c r="H8" s="6" t="s">
        <v>30</v>
      </c>
      <c r="I8" s="8">
        <f t="shared" si="0"/>
        <v>1050000</v>
      </c>
      <c r="K8" s="9" t="s">
        <v>34</v>
      </c>
      <c r="L8" s="12">
        <f>SUM(E:E)</f>
        <v>1141</v>
      </c>
    </row>
    <row r="9" spans="1:12" x14ac:dyDescent="0.25">
      <c r="A9" s="5">
        <v>45698</v>
      </c>
      <c r="B9" s="6" t="s">
        <v>29</v>
      </c>
      <c r="C9" s="6" t="s">
        <v>25</v>
      </c>
      <c r="D9" s="6" t="s">
        <v>26</v>
      </c>
      <c r="E9" s="6">
        <v>2</v>
      </c>
      <c r="F9" s="7">
        <v>65000</v>
      </c>
      <c r="G9" s="6" t="s">
        <v>12</v>
      </c>
      <c r="H9" s="6" t="s">
        <v>18</v>
      </c>
      <c r="I9" s="8">
        <f t="shared" si="0"/>
        <v>130000</v>
      </c>
    </row>
    <row r="10" spans="1:12" x14ac:dyDescent="0.25">
      <c r="A10" s="5">
        <v>45689</v>
      </c>
      <c r="B10" s="6" t="s">
        <v>14</v>
      </c>
      <c r="C10" s="6" t="s">
        <v>35</v>
      </c>
      <c r="D10" s="6" t="s">
        <v>36</v>
      </c>
      <c r="E10" s="6">
        <v>14</v>
      </c>
      <c r="F10" s="7">
        <v>175000</v>
      </c>
      <c r="G10" s="6" t="s">
        <v>22</v>
      </c>
      <c r="H10" s="6" t="s">
        <v>13</v>
      </c>
      <c r="I10" s="8">
        <f t="shared" si="0"/>
        <v>2450000</v>
      </c>
    </row>
    <row r="11" spans="1:12" x14ac:dyDescent="0.25">
      <c r="A11" s="5">
        <v>45836</v>
      </c>
      <c r="B11" s="6" t="s">
        <v>29</v>
      </c>
      <c r="C11" s="6" t="s">
        <v>37</v>
      </c>
      <c r="D11" s="6" t="s">
        <v>21</v>
      </c>
      <c r="E11" s="6">
        <v>4</v>
      </c>
      <c r="F11" s="7">
        <v>150000</v>
      </c>
      <c r="G11" s="6" t="s">
        <v>12</v>
      </c>
      <c r="H11" s="6" t="s">
        <v>38</v>
      </c>
      <c r="I11" s="8">
        <f t="shared" si="0"/>
        <v>600000</v>
      </c>
    </row>
    <row r="12" spans="1:12" x14ac:dyDescent="0.25">
      <c r="A12" s="5">
        <v>45765</v>
      </c>
      <c r="B12" s="6" t="s">
        <v>9</v>
      </c>
      <c r="C12" s="6" t="s">
        <v>37</v>
      </c>
      <c r="D12" s="6" t="s">
        <v>21</v>
      </c>
      <c r="E12" s="6">
        <v>20</v>
      </c>
      <c r="F12" s="7">
        <v>150000</v>
      </c>
      <c r="G12" s="6" t="s">
        <v>22</v>
      </c>
      <c r="H12" s="6" t="s">
        <v>18</v>
      </c>
      <c r="I12" s="8">
        <f t="shared" si="0"/>
        <v>3000000</v>
      </c>
    </row>
    <row r="13" spans="1:12" x14ac:dyDescent="0.25">
      <c r="A13" s="5">
        <v>45713</v>
      </c>
      <c r="B13" s="6" t="s">
        <v>19</v>
      </c>
      <c r="C13" s="6" t="s">
        <v>39</v>
      </c>
      <c r="D13" s="6" t="s">
        <v>40</v>
      </c>
      <c r="E13" s="6">
        <v>6</v>
      </c>
      <c r="F13" s="7">
        <v>85000</v>
      </c>
      <c r="G13" s="6" t="s">
        <v>33</v>
      </c>
      <c r="H13" s="6" t="s">
        <v>41</v>
      </c>
      <c r="I13" s="8">
        <f t="shared" si="0"/>
        <v>510000</v>
      </c>
    </row>
    <row r="14" spans="1:12" x14ac:dyDescent="0.25">
      <c r="A14" s="5">
        <v>45776</v>
      </c>
      <c r="B14" s="6" t="s">
        <v>29</v>
      </c>
      <c r="C14" s="6" t="s">
        <v>37</v>
      </c>
      <c r="D14" s="6" t="s">
        <v>21</v>
      </c>
      <c r="E14" s="6">
        <v>1</v>
      </c>
      <c r="F14" s="7">
        <v>150000</v>
      </c>
      <c r="G14" s="6" t="s">
        <v>33</v>
      </c>
      <c r="H14" s="6" t="s">
        <v>42</v>
      </c>
      <c r="I14" s="8">
        <f t="shared" si="0"/>
        <v>150000</v>
      </c>
    </row>
    <row r="15" spans="1:12" x14ac:dyDescent="0.25">
      <c r="A15" s="5">
        <v>45690</v>
      </c>
      <c r="B15" s="6" t="s">
        <v>14</v>
      </c>
      <c r="C15" s="6" t="s">
        <v>15</v>
      </c>
      <c r="D15" s="6" t="s">
        <v>16</v>
      </c>
      <c r="E15" s="6">
        <v>18</v>
      </c>
      <c r="F15" s="7">
        <v>350000</v>
      </c>
      <c r="G15" s="6" t="s">
        <v>43</v>
      </c>
      <c r="H15" s="6" t="s">
        <v>44</v>
      </c>
      <c r="I15" s="8">
        <f t="shared" si="0"/>
        <v>6300000</v>
      </c>
    </row>
    <row r="16" spans="1:12" x14ac:dyDescent="0.25">
      <c r="A16" s="5">
        <v>45762</v>
      </c>
      <c r="B16" s="6" t="s">
        <v>9</v>
      </c>
      <c r="C16" s="6" t="s">
        <v>39</v>
      </c>
      <c r="D16" s="6" t="s">
        <v>40</v>
      </c>
      <c r="E16" s="6">
        <v>2</v>
      </c>
      <c r="F16" s="7">
        <v>85000</v>
      </c>
      <c r="G16" s="6" t="s">
        <v>17</v>
      </c>
      <c r="H16" s="6" t="s">
        <v>13</v>
      </c>
      <c r="I16" s="8">
        <f t="shared" si="0"/>
        <v>170000</v>
      </c>
    </row>
    <row r="17" spans="1:9" x14ac:dyDescent="0.25">
      <c r="A17" s="5">
        <v>45820</v>
      </c>
      <c r="B17" s="6" t="s">
        <v>14</v>
      </c>
      <c r="C17" s="6" t="s">
        <v>25</v>
      </c>
      <c r="D17" s="6" t="s">
        <v>26</v>
      </c>
      <c r="E17" s="6">
        <v>11</v>
      </c>
      <c r="F17" s="7">
        <v>65000</v>
      </c>
      <c r="G17" s="6" t="s">
        <v>43</v>
      </c>
      <c r="H17" s="6" t="s">
        <v>45</v>
      </c>
      <c r="I17" s="8">
        <f t="shared" si="0"/>
        <v>715000</v>
      </c>
    </row>
    <row r="18" spans="1:9" x14ac:dyDescent="0.25">
      <c r="A18" s="5">
        <v>45688</v>
      </c>
      <c r="B18" s="6" t="s">
        <v>14</v>
      </c>
      <c r="C18" s="6" t="s">
        <v>35</v>
      </c>
      <c r="D18" s="6" t="s">
        <v>36</v>
      </c>
      <c r="E18" s="6">
        <v>10</v>
      </c>
      <c r="F18" s="7">
        <v>175000</v>
      </c>
      <c r="G18" s="6" t="s">
        <v>22</v>
      </c>
      <c r="H18" s="6" t="s">
        <v>41</v>
      </c>
      <c r="I18" s="8">
        <f t="shared" si="0"/>
        <v>1750000</v>
      </c>
    </row>
    <row r="19" spans="1:9" x14ac:dyDescent="0.25">
      <c r="A19" s="5">
        <v>45690</v>
      </c>
      <c r="B19" s="6" t="s">
        <v>29</v>
      </c>
      <c r="C19" s="6" t="s">
        <v>37</v>
      </c>
      <c r="D19" s="6" t="s">
        <v>21</v>
      </c>
      <c r="E19" s="6">
        <v>4</v>
      </c>
      <c r="F19" s="7">
        <v>150000</v>
      </c>
      <c r="G19" s="6" t="s">
        <v>46</v>
      </c>
      <c r="H19" s="6" t="s">
        <v>27</v>
      </c>
      <c r="I19" s="8">
        <f t="shared" si="0"/>
        <v>600000</v>
      </c>
    </row>
    <row r="20" spans="1:9" x14ac:dyDescent="0.25">
      <c r="A20" s="5">
        <v>45802</v>
      </c>
      <c r="B20" s="6" t="s">
        <v>29</v>
      </c>
      <c r="C20" s="6" t="s">
        <v>35</v>
      </c>
      <c r="D20" s="6" t="s">
        <v>36</v>
      </c>
      <c r="E20" s="6">
        <v>3</v>
      </c>
      <c r="F20" s="7">
        <v>175000</v>
      </c>
      <c r="G20" s="6" t="s">
        <v>47</v>
      </c>
      <c r="H20" s="6" t="s">
        <v>48</v>
      </c>
      <c r="I20" s="8">
        <f t="shared" si="0"/>
        <v>525000</v>
      </c>
    </row>
    <row r="21" spans="1:9" x14ac:dyDescent="0.25">
      <c r="A21" s="5">
        <v>45714</v>
      </c>
      <c r="B21" s="6" t="s">
        <v>19</v>
      </c>
      <c r="C21" s="6" t="s">
        <v>35</v>
      </c>
      <c r="D21" s="6" t="s">
        <v>36</v>
      </c>
      <c r="E21" s="6">
        <v>5</v>
      </c>
      <c r="F21" s="7">
        <v>175000</v>
      </c>
      <c r="G21" s="6" t="s">
        <v>43</v>
      </c>
      <c r="H21" s="6" t="s">
        <v>48</v>
      </c>
      <c r="I21" s="8">
        <f t="shared" si="0"/>
        <v>875000</v>
      </c>
    </row>
    <row r="22" spans="1:9" x14ac:dyDescent="0.25">
      <c r="A22" s="5">
        <v>45753</v>
      </c>
      <c r="B22" s="6" t="s">
        <v>14</v>
      </c>
      <c r="C22" s="6" t="s">
        <v>10</v>
      </c>
      <c r="D22" s="6" t="s">
        <v>11</v>
      </c>
      <c r="E22" s="6">
        <v>20</v>
      </c>
      <c r="F22" s="7">
        <v>250000</v>
      </c>
      <c r="G22" s="6" t="s">
        <v>47</v>
      </c>
      <c r="H22" s="6" t="s">
        <v>18</v>
      </c>
      <c r="I22" s="8">
        <f t="shared" si="0"/>
        <v>5000000</v>
      </c>
    </row>
    <row r="23" spans="1:9" x14ac:dyDescent="0.25">
      <c r="A23" s="5">
        <v>45712</v>
      </c>
      <c r="B23" s="6" t="s">
        <v>14</v>
      </c>
      <c r="C23" s="6" t="s">
        <v>35</v>
      </c>
      <c r="D23" s="6" t="s">
        <v>36</v>
      </c>
      <c r="E23" s="6">
        <v>2</v>
      </c>
      <c r="F23" s="7">
        <v>175000</v>
      </c>
      <c r="G23" s="6" t="s">
        <v>12</v>
      </c>
      <c r="H23" s="6" t="s">
        <v>44</v>
      </c>
      <c r="I23" s="8">
        <f t="shared" si="0"/>
        <v>350000</v>
      </c>
    </row>
    <row r="24" spans="1:9" x14ac:dyDescent="0.25">
      <c r="A24" s="5">
        <v>45740</v>
      </c>
      <c r="B24" s="6" t="s">
        <v>14</v>
      </c>
      <c r="C24" s="6" t="s">
        <v>37</v>
      </c>
      <c r="D24" s="6" t="s">
        <v>21</v>
      </c>
      <c r="E24" s="6">
        <v>20</v>
      </c>
      <c r="F24" s="7">
        <v>150000</v>
      </c>
      <c r="G24" s="6" t="s">
        <v>22</v>
      </c>
      <c r="H24" s="6" t="s">
        <v>49</v>
      </c>
      <c r="I24" s="8">
        <f t="shared" si="0"/>
        <v>3000000</v>
      </c>
    </row>
    <row r="25" spans="1:9" x14ac:dyDescent="0.25">
      <c r="A25" s="5">
        <v>45805</v>
      </c>
      <c r="B25" s="6" t="s">
        <v>19</v>
      </c>
      <c r="C25" s="6" t="s">
        <v>37</v>
      </c>
      <c r="D25" s="6" t="s">
        <v>21</v>
      </c>
      <c r="E25" s="6">
        <v>8</v>
      </c>
      <c r="F25" s="7">
        <v>150000</v>
      </c>
      <c r="G25" s="6" t="s">
        <v>17</v>
      </c>
      <c r="H25" s="6" t="s">
        <v>41</v>
      </c>
      <c r="I25" s="8">
        <f t="shared" si="0"/>
        <v>1200000</v>
      </c>
    </row>
    <row r="26" spans="1:9" x14ac:dyDescent="0.25">
      <c r="A26" s="5">
        <v>45789</v>
      </c>
      <c r="B26" s="6" t="s">
        <v>29</v>
      </c>
      <c r="C26" s="6" t="s">
        <v>10</v>
      </c>
      <c r="D26" s="6" t="s">
        <v>11</v>
      </c>
      <c r="E26" s="6">
        <v>19</v>
      </c>
      <c r="F26" s="7">
        <v>250000</v>
      </c>
      <c r="G26" s="6" t="s">
        <v>47</v>
      </c>
      <c r="H26" s="6" t="s">
        <v>48</v>
      </c>
      <c r="I26" s="8">
        <f t="shared" si="0"/>
        <v>4750000</v>
      </c>
    </row>
    <row r="27" spans="1:9" x14ac:dyDescent="0.25">
      <c r="A27" s="5">
        <v>45788</v>
      </c>
      <c r="B27" s="6" t="s">
        <v>14</v>
      </c>
      <c r="C27" s="6" t="s">
        <v>35</v>
      </c>
      <c r="D27" s="6" t="s">
        <v>36</v>
      </c>
      <c r="E27" s="6">
        <v>12</v>
      </c>
      <c r="F27" s="7">
        <v>175000</v>
      </c>
      <c r="G27" s="6" t="s">
        <v>43</v>
      </c>
      <c r="H27" s="6" t="s">
        <v>41</v>
      </c>
      <c r="I27" s="8">
        <f t="shared" si="0"/>
        <v>2100000</v>
      </c>
    </row>
    <row r="28" spans="1:9" x14ac:dyDescent="0.25">
      <c r="A28" s="5">
        <v>45673</v>
      </c>
      <c r="B28" s="6" t="s">
        <v>19</v>
      </c>
      <c r="C28" s="6" t="s">
        <v>39</v>
      </c>
      <c r="D28" s="6" t="s">
        <v>40</v>
      </c>
      <c r="E28" s="6">
        <v>11</v>
      </c>
      <c r="F28" s="7">
        <v>85000</v>
      </c>
      <c r="G28" s="6" t="s">
        <v>47</v>
      </c>
      <c r="H28" s="6" t="s">
        <v>48</v>
      </c>
      <c r="I28" s="8">
        <f t="shared" si="0"/>
        <v>935000</v>
      </c>
    </row>
    <row r="29" spans="1:9" x14ac:dyDescent="0.25">
      <c r="A29" s="5">
        <v>45787</v>
      </c>
      <c r="B29" s="6" t="s">
        <v>19</v>
      </c>
      <c r="C29" s="6" t="s">
        <v>25</v>
      </c>
      <c r="D29" s="6" t="s">
        <v>26</v>
      </c>
      <c r="E29" s="6">
        <v>17</v>
      </c>
      <c r="F29" s="7">
        <v>65000</v>
      </c>
      <c r="G29" s="6" t="s">
        <v>43</v>
      </c>
      <c r="H29" s="6" t="s">
        <v>42</v>
      </c>
      <c r="I29" s="8">
        <f t="shared" si="0"/>
        <v>1105000</v>
      </c>
    </row>
    <row r="30" spans="1:9" x14ac:dyDescent="0.25">
      <c r="A30" s="5">
        <v>45689</v>
      </c>
      <c r="B30" s="6" t="s">
        <v>9</v>
      </c>
      <c r="C30" s="6" t="s">
        <v>15</v>
      </c>
      <c r="D30" s="6" t="s">
        <v>16</v>
      </c>
      <c r="E30" s="6">
        <v>15</v>
      </c>
      <c r="F30" s="7">
        <v>350000</v>
      </c>
      <c r="G30" s="6" t="s">
        <v>50</v>
      </c>
      <c r="H30" s="6" t="s">
        <v>23</v>
      </c>
      <c r="I30" s="8">
        <f t="shared" si="0"/>
        <v>5250000</v>
      </c>
    </row>
    <row r="31" spans="1:9" x14ac:dyDescent="0.25">
      <c r="A31" s="5">
        <v>45694</v>
      </c>
      <c r="B31" s="6" t="s">
        <v>29</v>
      </c>
      <c r="C31" s="6" t="s">
        <v>15</v>
      </c>
      <c r="D31" s="6" t="s">
        <v>16</v>
      </c>
      <c r="E31" s="6">
        <v>8</v>
      </c>
      <c r="F31" s="7">
        <v>350000</v>
      </c>
      <c r="G31" s="6" t="s">
        <v>12</v>
      </c>
      <c r="H31" s="6" t="s">
        <v>48</v>
      </c>
      <c r="I31" s="8">
        <f t="shared" si="0"/>
        <v>2800000</v>
      </c>
    </row>
    <row r="32" spans="1:9" x14ac:dyDescent="0.25">
      <c r="A32" s="5">
        <v>45825</v>
      </c>
      <c r="B32" s="6" t="s">
        <v>29</v>
      </c>
      <c r="C32" s="6" t="s">
        <v>15</v>
      </c>
      <c r="D32" s="6" t="s">
        <v>16</v>
      </c>
      <c r="E32" s="6">
        <v>14</v>
      </c>
      <c r="F32" s="7">
        <v>350000</v>
      </c>
      <c r="G32" s="6" t="s">
        <v>43</v>
      </c>
      <c r="H32" s="6" t="s">
        <v>51</v>
      </c>
      <c r="I32" s="8">
        <f t="shared" si="0"/>
        <v>4900000</v>
      </c>
    </row>
    <row r="33" spans="1:9" x14ac:dyDescent="0.25">
      <c r="A33" s="5">
        <v>45666</v>
      </c>
      <c r="B33" s="6" t="s">
        <v>14</v>
      </c>
      <c r="C33" s="6" t="s">
        <v>37</v>
      </c>
      <c r="D33" s="6" t="s">
        <v>21</v>
      </c>
      <c r="E33" s="6">
        <v>12</v>
      </c>
      <c r="F33" s="7">
        <v>150000</v>
      </c>
      <c r="G33" s="6" t="s">
        <v>22</v>
      </c>
      <c r="H33" s="6" t="s">
        <v>38</v>
      </c>
      <c r="I33" s="8">
        <f t="shared" si="0"/>
        <v>1800000</v>
      </c>
    </row>
    <row r="34" spans="1:9" x14ac:dyDescent="0.25">
      <c r="A34" s="5">
        <v>45837</v>
      </c>
      <c r="B34" s="6" t="s">
        <v>19</v>
      </c>
      <c r="C34" s="6" t="s">
        <v>35</v>
      </c>
      <c r="D34" s="6" t="s">
        <v>36</v>
      </c>
      <c r="E34" s="6">
        <v>8</v>
      </c>
      <c r="F34" s="7">
        <v>175000</v>
      </c>
      <c r="G34" s="6" t="s">
        <v>12</v>
      </c>
      <c r="H34" s="6" t="s">
        <v>38</v>
      </c>
      <c r="I34" s="8">
        <f t="shared" si="0"/>
        <v>1400000</v>
      </c>
    </row>
    <row r="35" spans="1:9" x14ac:dyDescent="0.25">
      <c r="A35" s="5">
        <v>45735</v>
      </c>
      <c r="B35" s="6" t="s">
        <v>9</v>
      </c>
      <c r="C35" s="6" t="s">
        <v>37</v>
      </c>
      <c r="D35" s="6" t="s">
        <v>21</v>
      </c>
      <c r="E35" s="6">
        <v>6</v>
      </c>
      <c r="F35" s="7">
        <v>150000</v>
      </c>
      <c r="G35" s="6" t="s">
        <v>12</v>
      </c>
      <c r="H35" s="6" t="s">
        <v>48</v>
      </c>
      <c r="I35" s="8">
        <f t="shared" si="0"/>
        <v>900000</v>
      </c>
    </row>
    <row r="36" spans="1:9" x14ac:dyDescent="0.25">
      <c r="A36" s="5">
        <v>45694</v>
      </c>
      <c r="B36" s="6" t="s">
        <v>29</v>
      </c>
      <c r="C36" s="6" t="s">
        <v>10</v>
      </c>
      <c r="D36" s="6" t="s">
        <v>11</v>
      </c>
      <c r="E36" s="6">
        <v>20</v>
      </c>
      <c r="F36" s="7">
        <v>250000</v>
      </c>
      <c r="G36" s="6" t="s">
        <v>12</v>
      </c>
      <c r="H36" s="6" t="s">
        <v>41</v>
      </c>
      <c r="I36" s="8">
        <f t="shared" si="0"/>
        <v>5000000</v>
      </c>
    </row>
    <row r="37" spans="1:9" x14ac:dyDescent="0.25">
      <c r="A37" s="5">
        <v>45753</v>
      </c>
      <c r="B37" s="6" t="s">
        <v>9</v>
      </c>
      <c r="C37" s="6" t="s">
        <v>25</v>
      </c>
      <c r="D37" s="6" t="s">
        <v>26</v>
      </c>
      <c r="E37" s="6">
        <v>12</v>
      </c>
      <c r="F37" s="7">
        <v>65000</v>
      </c>
      <c r="G37" s="6" t="s">
        <v>12</v>
      </c>
      <c r="H37" s="6" t="s">
        <v>49</v>
      </c>
      <c r="I37" s="8">
        <f t="shared" si="0"/>
        <v>780000</v>
      </c>
    </row>
    <row r="38" spans="1:9" x14ac:dyDescent="0.25">
      <c r="A38" s="5">
        <v>45695</v>
      </c>
      <c r="B38" s="6" t="s">
        <v>9</v>
      </c>
      <c r="C38" s="6" t="s">
        <v>25</v>
      </c>
      <c r="D38" s="6" t="s">
        <v>26</v>
      </c>
      <c r="E38" s="6">
        <v>4</v>
      </c>
      <c r="F38" s="7">
        <v>65000</v>
      </c>
      <c r="G38" s="6" t="s">
        <v>46</v>
      </c>
      <c r="H38" s="6" t="s">
        <v>51</v>
      </c>
      <c r="I38" s="8">
        <f t="shared" si="0"/>
        <v>260000</v>
      </c>
    </row>
    <row r="39" spans="1:9" x14ac:dyDescent="0.25">
      <c r="A39" s="5">
        <v>45723</v>
      </c>
      <c r="B39" s="6" t="s">
        <v>14</v>
      </c>
      <c r="C39" s="6" t="s">
        <v>35</v>
      </c>
      <c r="D39" s="6" t="s">
        <v>36</v>
      </c>
      <c r="E39" s="6">
        <v>18</v>
      </c>
      <c r="F39" s="7">
        <v>175000</v>
      </c>
      <c r="G39" s="6" t="s">
        <v>47</v>
      </c>
      <c r="H39" s="6" t="s">
        <v>13</v>
      </c>
      <c r="I39" s="8">
        <f t="shared" si="0"/>
        <v>3150000</v>
      </c>
    </row>
    <row r="40" spans="1:9" x14ac:dyDescent="0.25">
      <c r="A40" s="5">
        <v>45784</v>
      </c>
      <c r="B40" s="6" t="s">
        <v>19</v>
      </c>
      <c r="C40" s="6" t="s">
        <v>20</v>
      </c>
      <c r="D40" s="6" t="s">
        <v>21</v>
      </c>
      <c r="E40" s="6">
        <v>10</v>
      </c>
      <c r="F40" s="7">
        <v>180000</v>
      </c>
      <c r="G40" s="6" t="s">
        <v>46</v>
      </c>
      <c r="H40" s="6" t="s">
        <v>30</v>
      </c>
      <c r="I40" s="8">
        <f t="shared" si="0"/>
        <v>1800000</v>
      </c>
    </row>
    <row r="41" spans="1:9" x14ac:dyDescent="0.25">
      <c r="A41" s="5">
        <v>45838</v>
      </c>
      <c r="B41" s="6" t="s">
        <v>14</v>
      </c>
      <c r="C41" s="6" t="s">
        <v>25</v>
      </c>
      <c r="D41" s="6" t="s">
        <v>26</v>
      </c>
      <c r="E41" s="6">
        <v>10</v>
      </c>
      <c r="F41" s="7">
        <v>65000</v>
      </c>
      <c r="G41" s="6" t="s">
        <v>52</v>
      </c>
      <c r="H41" s="6" t="s">
        <v>18</v>
      </c>
      <c r="I41" s="8">
        <f t="shared" si="0"/>
        <v>650000</v>
      </c>
    </row>
    <row r="42" spans="1:9" x14ac:dyDescent="0.25">
      <c r="A42" s="5">
        <v>45713</v>
      </c>
      <c r="B42" s="6" t="s">
        <v>19</v>
      </c>
      <c r="C42" s="6" t="s">
        <v>37</v>
      </c>
      <c r="D42" s="6" t="s">
        <v>21</v>
      </c>
      <c r="E42" s="6">
        <v>3</v>
      </c>
      <c r="F42" s="7">
        <v>150000</v>
      </c>
      <c r="G42" s="6" t="s">
        <v>46</v>
      </c>
      <c r="H42" s="6" t="s">
        <v>51</v>
      </c>
      <c r="I42" s="8">
        <f t="shared" si="0"/>
        <v>450000</v>
      </c>
    </row>
    <row r="43" spans="1:9" x14ac:dyDescent="0.25">
      <c r="A43" s="5">
        <v>45670</v>
      </c>
      <c r="B43" s="6" t="s">
        <v>9</v>
      </c>
      <c r="C43" s="6" t="s">
        <v>20</v>
      </c>
      <c r="D43" s="6" t="s">
        <v>21</v>
      </c>
      <c r="E43" s="6">
        <v>8</v>
      </c>
      <c r="F43" s="7">
        <v>180000</v>
      </c>
      <c r="G43" s="6" t="s">
        <v>33</v>
      </c>
      <c r="H43" s="6" t="s">
        <v>41</v>
      </c>
      <c r="I43" s="8">
        <f t="shared" si="0"/>
        <v>1440000</v>
      </c>
    </row>
    <row r="44" spans="1:9" x14ac:dyDescent="0.25">
      <c r="A44" s="5">
        <v>45823</v>
      </c>
      <c r="B44" s="6" t="s">
        <v>9</v>
      </c>
      <c r="C44" s="6" t="s">
        <v>10</v>
      </c>
      <c r="D44" s="6" t="s">
        <v>11</v>
      </c>
      <c r="E44" s="6">
        <v>3</v>
      </c>
      <c r="F44" s="7">
        <v>250000</v>
      </c>
      <c r="G44" s="6" t="s">
        <v>46</v>
      </c>
      <c r="H44" s="6" t="s">
        <v>30</v>
      </c>
      <c r="I44" s="8">
        <f t="shared" si="0"/>
        <v>750000</v>
      </c>
    </row>
    <row r="45" spans="1:9" x14ac:dyDescent="0.25">
      <c r="A45" s="5">
        <v>45716</v>
      </c>
      <c r="B45" s="6" t="s">
        <v>14</v>
      </c>
      <c r="C45" s="6" t="s">
        <v>39</v>
      </c>
      <c r="D45" s="6" t="s">
        <v>40</v>
      </c>
      <c r="E45" s="6">
        <v>18</v>
      </c>
      <c r="F45" s="7">
        <v>85000</v>
      </c>
      <c r="G45" s="6" t="s">
        <v>17</v>
      </c>
      <c r="H45" s="6" t="s">
        <v>38</v>
      </c>
      <c r="I45" s="8">
        <f t="shared" si="0"/>
        <v>1530000</v>
      </c>
    </row>
    <row r="46" spans="1:9" x14ac:dyDescent="0.25">
      <c r="A46" s="5">
        <v>45707</v>
      </c>
      <c r="B46" s="6" t="s">
        <v>29</v>
      </c>
      <c r="C46" s="6" t="s">
        <v>37</v>
      </c>
      <c r="D46" s="6" t="s">
        <v>21</v>
      </c>
      <c r="E46" s="6">
        <v>9</v>
      </c>
      <c r="F46" s="7">
        <v>150000</v>
      </c>
      <c r="G46" s="6" t="s">
        <v>46</v>
      </c>
      <c r="H46" s="6" t="s">
        <v>42</v>
      </c>
      <c r="I46" s="8">
        <f t="shared" si="0"/>
        <v>1350000</v>
      </c>
    </row>
    <row r="47" spans="1:9" x14ac:dyDescent="0.25">
      <c r="A47" s="5">
        <v>45719</v>
      </c>
      <c r="B47" s="6" t="s">
        <v>14</v>
      </c>
      <c r="C47" s="6" t="s">
        <v>37</v>
      </c>
      <c r="D47" s="6" t="s">
        <v>21</v>
      </c>
      <c r="E47" s="6">
        <v>18</v>
      </c>
      <c r="F47" s="7">
        <v>150000</v>
      </c>
      <c r="G47" s="6" t="s">
        <v>22</v>
      </c>
      <c r="H47" s="6" t="s">
        <v>38</v>
      </c>
      <c r="I47" s="8">
        <f t="shared" si="0"/>
        <v>2700000</v>
      </c>
    </row>
    <row r="48" spans="1:9" x14ac:dyDescent="0.25">
      <c r="A48" s="5">
        <v>45748</v>
      </c>
      <c r="B48" s="6" t="s">
        <v>29</v>
      </c>
      <c r="C48" s="6" t="s">
        <v>37</v>
      </c>
      <c r="D48" s="6" t="s">
        <v>21</v>
      </c>
      <c r="E48" s="6">
        <v>11</v>
      </c>
      <c r="F48" s="7">
        <v>150000</v>
      </c>
      <c r="G48" s="6" t="s">
        <v>46</v>
      </c>
      <c r="H48" s="6" t="s">
        <v>30</v>
      </c>
      <c r="I48" s="8">
        <f t="shared" si="0"/>
        <v>1650000</v>
      </c>
    </row>
    <row r="49" spans="1:9" x14ac:dyDescent="0.25">
      <c r="A49" s="5">
        <v>45754</v>
      </c>
      <c r="B49" s="6" t="s">
        <v>9</v>
      </c>
      <c r="C49" s="6" t="s">
        <v>15</v>
      </c>
      <c r="D49" s="6" t="s">
        <v>16</v>
      </c>
      <c r="E49" s="6">
        <v>4</v>
      </c>
      <c r="F49" s="7">
        <v>350000</v>
      </c>
      <c r="G49" s="6" t="s">
        <v>47</v>
      </c>
      <c r="H49" s="6" t="s">
        <v>27</v>
      </c>
      <c r="I49" s="8">
        <f t="shared" si="0"/>
        <v>1400000</v>
      </c>
    </row>
    <row r="50" spans="1:9" x14ac:dyDescent="0.25">
      <c r="A50" s="5">
        <v>45714</v>
      </c>
      <c r="B50" s="6" t="s">
        <v>9</v>
      </c>
      <c r="C50" s="6" t="s">
        <v>37</v>
      </c>
      <c r="D50" s="6" t="s">
        <v>21</v>
      </c>
      <c r="E50" s="6">
        <v>19</v>
      </c>
      <c r="F50" s="7">
        <v>150000</v>
      </c>
      <c r="G50" s="6" t="s">
        <v>53</v>
      </c>
      <c r="H50" s="6" t="s">
        <v>42</v>
      </c>
      <c r="I50" s="8">
        <f t="shared" si="0"/>
        <v>2850000</v>
      </c>
    </row>
    <row r="51" spans="1:9" x14ac:dyDescent="0.25">
      <c r="A51" s="5">
        <v>45809</v>
      </c>
      <c r="B51" s="6" t="s">
        <v>14</v>
      </c>
      <c r="C51" s="6" t="s">
        <v>39</v>
      </c>
      <c r="D51" s="6" t="s">
        <v>40</v>
      </c>
      <c r="E51" s="6">
        <v>7</v>
      </c>
      <c r="F51" s="7">
        <v>85000</v>
      </c>
      <c r="G51" s="6" t="s">
        <v>33</v>
      </c>
      <c r="H51" s="6" t="s">
        <v>13</v>
      </c>
      <c r="I51" s="8">
        <f t="shared" si="0"/>
        <v>595000</v>
      </c>
    </row>
    <row r="52" spans="1:9" x14ac:dyDescent="0.25">
      <c r="A52" s="5">
        <v>45671</v>
      </c>
      <c r="B52" s="6" t="s">
        <v>29</v>
      </c>
      <c r="C52" s="6" t="s">
        <v>25</v>
      </c>
      <c r="D52" s="6" t="s">
        <v>26</v>
      </c>
      <c r="E52" s="6">
        <v>13</v>
      </c>
      <c r="F52" s="7">
        <v>65000</v>
      </c>
      <c r="G52" s="6" t="s">
        <v>22</v>
      </c>
      <c r="H52" s="6" t="s">
        <v>48</v>
      </c>
      <c r="I52" s="8">
        <f t="shared" si="0"/>
        <v>845000</v>
      </c>
    </row>
    <row r="53" spans="1:9" x14ac:dyDescent="0.25">
      <c r="A53" s="5">
        <v>45710</v>
      </c>
      <c r="B53" s="6" t="s">
        <v>14</v>
      </c>
      <c r="C53" s="6" t="s">
        <v>25</v>
      </c>
      <c r="D53" s="6" t="s">
        <v>26</v>
      </c>
      <c r="E53" s="6">
        <v>18</v>
      </c>
      <c r="F53" s="7">
        <v>65000</v>
      </c>
      <c r="G53" s="6" t="s">
        <v>47</v>
      </c>
      <c r="H53" s="6" t="s">
        <v>27</v>
      </c>
      <c r="I53" s="8">
        <f t="shared" si="0"/>
        <v>1170000</v>
      </c>
    </row>
    <row r="54" spans="1:9" x14ac:dyDescent="0.25">
      <c r="A54" s="5">
        <v>45740</v>
      </c>
      <c r="B54" s="6" t="s">
        <v>29</v>
      </c>
      <c r="C54" s="6" t="s">
        <v>25</v>
      </c>
      <c r="D54" s="6" t="s">
        <v>26</v>
      </c>
      <c r="E54" s="6">
        <v>5</v>
      </c>
      <c r="F54" s="7">
        <v>65000</v>
      </c>
      <c r="G54" s="6" t="s">
        <v>33</v>
      </c>
      <c r="H54" s="6" t="s">
        <v>42</v>
      </c>
      <c r="I54" s="8">
        <f t="shared" si="0"/>
        <v>325000</v>
      </c>
    </row>
    <row r="55" spans="1:9" x14ac:dyDescent="0.25">
      <c r="A55" s="5">
        <v>45684</v>
      </c>
      <c r="B55" s="6" t="s">
        <v>9</v>
      </c>
      <c r="C55" s="6" t="s">
        <v>15</v>
      </c>
      <c r="D55" s="6" t="s">
        <v>16</v>
      </c>
      <c r="E55" s="6">
        <v>13</v>
      </c>
      <c r="F55" s="7">
        <v>350000</v>
      </c>
      <c r="G55" s="6" t="s">
        <v>43</v>
      </c>
      <c r="H55" s="6" t="s">
        <v>48</v>
      </c>
      <c r="I55" s="8">
        <f t="shared" si="0"/>
        <v>4550000</v>
      </c>
    </row>
    <row r="56" spans="1:9" x14ac:dyDescent="0.25">
      <c r="A56" s="5">
        <v>45661</v>
      </c>
      <c r="B56" s="6" t="s">
        <v>29</v>
      </c>
      <c r="C56" s="6" t="s">
        <v>15</v>
      </c>
      <c r="D56" s="6" t="s">
        <v>16</v>
      </c>
      <c r="E56" s="6">
        <v>19</v>
      </c>
      <c r="F56" s="7">
        <v>350000</v>
      </c>
      <c r="G56" s="6" t="s">
        <v>17</v>
      </c>
      <c r="H56" s="6" t="s">
        <v>27</v>
      </c>
      <c r="I56" s="8">
        <f t="shared" si="0"/>
        <v>6650000</v>
      </c>
    </row>
    <row r="57" spans="1:9" x14ac:dyDescent="0.25">
      <c r="A57" s="5">
        <v>45724</v>
      </c>
      <c r="B57" s="6" t="s">
        <v>19</v>
      </c>
      <c r="C57" s="6" t="s">
        <v>20</v>
      </c>
      <c r="D57" s="6" t="s">
        <v>21</v>
      </c>
      <c r="E57" s="6">
        <v>9</v>
      </c>
      <c r="F57" s="7">
        <v>180000</v>
      </c>
      <c r="G57" s="6" t="s">
        <v>33</v>
      </c>
      <c r="H57" s="6" t="s">
        <v>54</v>
      </c>
      <c r="I57" s="8">
        <f t="shared" si="0"/>
        <v>1620000</v>
      </c>
    </row>
    <row r="58" spans="1:9" x14ac:dyDescent="0.25">
      <c r="A58" s="5">
        <v>45680</v>
      </c>
      <c r="B58" s="6" t="s">
        <v>14</v>
      </c>
      <c r="C58" s="6" t="s">
        <v>37</v>
      </c>
      <c r="D58" s="6" t="s">
        <v>21</v>
      </c>
      <c r="E58" s="6">
        <v>10</v>
      </c>
      <c r="F58" s="7">
        <v>150000</v>
      </c>
      <c r="G58" s="6" t="s">
        <v>43</v>
      </c>
      <c r="H58" s="6" t="s">
        <v>49</v>
      </c>
      <c r="I58" s="8">
        <f t="shared" si="0"/>
        <v>1500000</v>
      </c>
    </row>
    <row r="59" spans="1:9" x14ac:dyDescent="0.25">
      <c r="A59" s="5">
        <v>45673</v>
      </c>
      <c r="B59" s="6" t="s">
        <v>14</v>
      </c>
      <c r="C59" s="6" t="s">
        <v>39</v>
      </c>
      <c r="D59" s="6" t="s">
        <v>40</v>
      </c>
      <c r="E59" s="6">
        <v>10</v>
      </c>
      <c r="F59" s="7">
        <v>85000</v>
      </c>
      <c r="G59" s="6" t="s">
        <v>33</v>
      </c>
      <c r="H59" s="6" t="s">
        <v>42</v>
      </c>
      <c r="I59" s="8">
        <f t="shared" si="0"/>
        <v>850000</v>
      </c>
    </row>
    <row r="60" spans="1:9" x14ac:dyDescent="0.25">
      <c r="A60" s="5">
        <v>45693</v>
      </c>
      <c r="B60" s="6" t="s">
        <v>9</v>
      </c>
      <c r="C60" s="6" t="s">
        <v>10</v>
      </c>
      <c r="D60" s="6" t="s">
        <v>11</v>
      </c>
      <c r="E60" s="6">
        <v>5</v>
      </c>
      <c r="F60" s="7">
        <v>250000</v>
      </c>
      <c r="G60" s="6" t="s">
        <v>33</v>
      </c>
      <c r="H60" s="6" t="s">
        <v>23</v>
      </c>
      <c r="I60" s="8">
        <f t="shared" si="0"/>
        <v>1250000</v>
      </c>
    </row>
    <row r="61" spans="1:9" x14ac:dyDescent="0.25">
      <c r="A61" s="5">
        <v>45802</v>
      </c>
      <c r="B61" s="6" t="s">
        <v>14</v>
      </c>
      <c r="C61" s="6" t="s">
        <v>37</v>
      </c>
      <c r="D61" s="6" t="s">
        <v>21</v>
      </c>
      <c r="E61" s="6">
        <v>1</v>
      </c>
      <c r="F61" s="7">
        <v>150000</v>
      </c>
      <c r="G61" s="6" t="s">
        <v>47</v>
      </c>
      <c r="H61" s="6" t="s">
        <v>18</v>
      </c>
      <c r="I61" s="8">
        <f t="shared" si="0"/>
        <v>150000</v>
      </c>
    </row>
    <row r="62" spans="1:9" x14ac:dyDescent="0.25">
      <c r="A62" s="5">
        <v>45663</v>
      </c>
      <c r="B62" s="6" t="s">
        <v>9</v>
      </c>
      <c r="C62" s="6" t="s">
        <v>37</v>
      </c>
      <c r="D62" s="6" t="s">
        <v>21</v>
      </c>
      <c r="E62" s="6">
        <v>20</v>
      </c>
      <c r="F62" s="7">
        <v>150000</v>
      </c>
      <c r="G62" s="6" t="s">
        <v>33</v>
      </c>
      <c r="H62" s="6" t="s">
        <v>44</v>
      </c>
      <c r="I62" s="8">
        <f t="shared" si="0"/>
        <v>3000000</v>
      </c>
    </row>
    <row r="63" spans="1:9" x14ac:dyDescent="0.25">
      <c r="A63" s="5">
        <v>45694</v>
      </c>
      <c r="B63" s="6" t="s">
        <v>9</v>
      </c>
      <c r="C63" s="6" t="s">
        <v>15</v>
      </c>
      <c r="D63" s="6" t="s">
        <v>16</v>
      </c>
      <c r="E63" s="6">
        <v>11</v>
      </c>
      <c r="F63" s="7">
        <v>350000</v>
      </c>
      <c r="G63" s="6" t="s">
        <v>43</v>
      </c>
      <c r="H63" s="6" t="s">
        <v>45</v>
      </c>
      <c r="I63" s="8">
        <f t="shared" si="0"/>
        <v>3850000</v>
      </c>
    </row>
    <row r="64" spans="1:9" x14ac:dyDescent="0.25">
      <c r="A64" s="5">
        <v>45671</v>
      </c>
      <c r="B64" s="6" t="s">
        <v>14</v>
      </c>
      <c r="C64" s="6" t="s">
        <v>10</v>
      </c>
      <c r="D64" s="6" t="s">
        <v>11</v>
      </c>
      <c r="E64" s="6">
        <v>14</v>
      </c>
      <c r="F64" s="7">
        <v>250000</v>
      </c>
      <c r="G64" s="6" t="s">
        <v>43</v>
      </c>
      <c r="H64" s="6" t="s">
        <v>30</v>
      </c>
      <c r="I64" s="8">
        <f t="shared" si="0"/>
        <v>3500000</v>
      </c>
    </row>
    <row r="65" spans="1:9" x14ac:dyDescent="0.25">
      <c r="A65" s="5">
        <v>45779</v>
      </c>
      <c r="B65" s="6" t="s">
        <v>55</v>
      </c>
      <c r="C65" s="6" t="s">
        <v>37</v>
      </c>
      <c r="D65" s="6" t="s">
        <v>21</v>
      </c>
      <c r="E65" s="6">
        <v>3</v>
      </c>
      <c r="F65" s="7">
        <v>150000</v>
      </c>
      <c r="G65" s="6" t="s">
        <v>33</v>
      </c>
      <c r="H65" s="6" t="s">
        <v>13</v>
      </c>
      <c r="I65" s="8">
        <f t="shared" si="0"/>
        <v>450000</v>
      </c>
    </row>
    <row r="66" spans="1:9" x14ac:dyDescent="0.25">
      <c r="A66" s="5">
        <v>45825</v>
      </c>
      <c r="B66" s="6" t="s">
        <v>14</v>
      </c>
      <c r="C66" s="6" t="s">
        <v>39</v>
      </c>
      <c r="D66" s="6" t="s">
        <v>40</v>
      </c>
      <c r="E66" s="6">
        <v>6</v>
      </c>
      <c r="F66" s="7">
        <v>85000</v>
      </c>
      <c r="G66" s="6" t="s">
        <v>22</v>
      </c>
      <c r="H66" s="6" t="s">
        <v>44</v>
      </c>
      <c r="I66" s="8">
        <f t="shared" si="0"/>
        <v>510000</v>
      </c>
    </row>
    <row r="67" spans="1:9" x14ac:dyDescent="0.25">
      <c r="A67" s="5">
        <v>45670</v>
      </c>
      <c r="B67" s="6" t="s">
        <v>29</v>
      </c>
      <c r="C67" s="6" t="s">
        <v>15</v>
      </c>
      <c r="D67" s="6" t="s">
        <v>16</v>
      </c>
      <c r="E67" s="6">
        <v>15</v>
      </c>
      <c r="F67" s="7">
        <v>350000</v>
      </c>
      <c r="G67" s="6" t="s">
        <v>43</v>
      </c>
      <c r="H67" s="6" t="s">
        <v>45</v>
      </c>
      <c r="I67" s="8">
        <f t="shared" ref="I67:I101" si="1">(F67*E67)</f>
        <v>5250000</v>
      </c>
    </row>
    <row r="68" spans="1:9" x14ac:dyDescent="0.25">
      <c r="A68" s="5">
        <v>45810</v>
      </c>
      <c r="B68" s="6" t="s">
        <v>19</v>
      </c>
      <c r="C68" s="6" t="s">
        <v>37</v>
      </c>
      <c r="D68" s="6" t="s">
        <v>21</v>
      </c>
      <c r="E68" s="6">
        <v>16</v>
      </c>
      <c r="F68" s="7">
        <v>150000</v>
      </c>
      <c r="G68" s="6" t="s">
        <v>17</v>
      </c>
      <c r="H68" s="6" t="s">
        <v>30</v>
      </c>
      <c r="I68" s="8">
        <f t="shared" si="1"/>
        <v>2400000</v>
      </c>
    </row>
    <row r="69" spans="1:9" x14ac:dyDescent="0.25">
      <c r="A69" s="5">
        <v>45704</v>
      </c>
      <c r="B69" s="6" t="s">
        <v>14</v>
      </c>
      <c r="C69" s="6" t="s">
        <v>35</v>
      </c>
      <c r="D69" s="6" t="s">
        <v>36</v>
      </c>
      <c r="E69" s="6">
        <v>8</v>
      </c>
      <c r="F69" s="7">
        <v>175000</v>
      </c>
      <c r="G69" s="6" t="s">
        <v>12</v>
      </c>
      <c r="H69" s="6" t="s">
        <v>13</v>
      </c>
      <c r="I69" s="8">
        <f t="shared" si="1"/>
        <v>1400000</v>
      </c>
    </row>
    <row r="70" spans="1:9" x14ac:dyDescent="0.25">
      <c r="A70" s="5">
        <v>45761</v>
      </c>
      <c r="B70" s="6" t="s">
        <v>9</v>
      </c>
      <c r="C70" s="6" t="s">
        <v>39</v>
      </c>
      <c r="D70" s="6" t="s">
        <v>40</v>
      </c>
      <c r="E70" s="6">
        <v>2</v>
      </c>
      <c r="F70" s="7">
        <v>85000</v>
      </c>
      <c r="G70" s="6" t="s">
        <v>43</v>
      </c>
      <c r="H70" s="6" t="s">
        <v>42</v>
      </c>
      <c r="I70" s="8">
        <f t="shared" si="1"/>
        <v>170000</v>
      </c>
    </row>
    <row r="71" spans="1:9" x14ac:dyDescent="0.25">
      <c r="A71" s="5">
        <v>45663</v>
      </c>
      <c r="B71" s="6" t="s">
        <v>19</v>
      </c>
      <c r="C71" s="6" t="s">
        <v>10</v>
      </c>
      <c r="D71" s="6" t="s">
        <v>11</v>
      </c>
      <c r="E71" s="6">
        <v>13</v>
      </c>
      <c r="F71" s="7">
        <v>250000</v>
      </c>
      <c r="G71" s="6" t="s">
        <v>47</v>
      </c>
      <c r="H71" s="6" t="s">
        <v>30</v>
      </c>
      <c r="I71" s="8">
        <f t="shared" si="1"/>
        <v>3250000</v>
      </c>
    </row>
    <row r="72" spans="1:9" x14ac:dyDescent="0.25">
      <c r="A72" s="5">
        <v>45668</v>
      </c>
      <c r="B72" s="6" t="s">
        <v>29</v>
      </c>
      <c r="C72" s="6" t="s">
        <v>25</v>
      </c>
      <c r="D72" s="6" t="s">
        <v>26</v>
      </c>
      <c r="E72" s="6">
        <v>11</v>
      </c>
      <c r="F72" s="7">
        <v>65000</v>
      </c>
      <c r="G72" s="6" t="s">
        <v>43</v>
      </c>
      <c r="H72" s="6" t="s">
        <v>45</v>
      </c>
      <c r="I72" s="8">
        <f t="shared" si="1"/>
        <v>715000</v>
      </c>
    </row>
    <row r="73" spans="1:9" x14ac:dyDescent="0.25">
      <c r="A73" s="5">
        <v>45825</v>
      </c>
      <c r="B73" s="6" t="s">
        <v>9</v>
      </c>
      <c r="C73" s="6" t="s">
        <v>15</v>
      </c>
      <c r="D73" s="6" t="s">
        <v>16</v>
      </c>
      <c r="E73" s="6">
        <v>17</v>
      </c>
      <c r="F73" s="7">
        <v>350000</v>
      </c>
      <c r="G73" s="6" t="s">
        <v>43</v>
      </c>
      <c r="H73" s="6" t="s">
        <v>41</v>
      </c>
      <c r="I73" s="8">
        <f t="shared" si="1"/>
        <v>5950000</v>
      </c>
    </row>
    <row r="74" spans="1:9" x14ac:dyDescent="0.25">
      <c r="A74" s="5">
        <v>45671</v>
      </c>
      <c r="B74" s="6" t="s">
        <v>29</v>
      </c>
      <c r="C74" s="6" t="s">
        <v>25</v>
      </c>
      <c r="D74" s="6" t="s">
        <v>26</v>
      </c>
      <c r="E74" s="6">
        <v>18</v>
      </c>
      <c r="F74" s="7">
        <v>65000</v>
      </c>
      <c r="G74" s="6" t="s">
        <v>43</v>
      </c>
      <c r="H74" s="6" t="s">
        <v>48</v>
      </c>
      <c r="I74" s="8">
        <f t="shared" si="1"/>
        <v>1170000</v>
      </c>
    </row>
    <row r="75" spans="1:9" x14ac:dyDescent="0.25">
      <c r="A75" s="5">
        <v>45806</v>
      </c>
      <c r="B75" s="6" t="s">
        <v>14</v>
      </c>
      <c r="C75" s="6" t="s">
        <v>20</v>
      </c>
      <c r="D75" s="6" t="s">
        <v>21</v>
      </c>
      <c r="E75" s="6">
        <v>13</v>
      </c>
      <c r="F75" s="7">
        <v>180000</v>
      </c>
      <c r="G75" s="6" t="s">
        <v>47</v>
      </c>
      <c r="H75" s="6" t="s">
        <v>23</v>
      </c>
      <c r="I75" s="8">
        <f t="shared" si="1"/>
        <v>2340000</v>
      </c>
    </row>
    <row r="76" spans="1:9" x14ac:dyDescent="0.25">
      <c r="A76" s="5">
        <v>45731</v>
      </c>
      <c r="B76" s="6" t="s">
        <v>9</v>
      </c>
      <c r="C76" s="6" t="s">
        <v>35</v>
      </c>
      <c r="D76" s="6" t="s">
        <v>36</v>
      </c>
      <c r="E76" s="6">
        <v>10</v>
      </c>
      <c r="F76" s="7">
        <v>175000</v>
      </c>
      <c r="G76" s="6" t="s">
        <v>33</v>
      </c>
      <c r="H76" s="6" t="s">
        <v>27</v>
      </c>
      <c r="I76" s="8">
        <f t="shared" si="1"/>
        <v>1750000</v>
      </c>
    </row>
    <row r="77" spans="1:9" x14ac:dyDescent="0.25">
      <c r="A77" s="5">
        <v>45742</v>
      </c>
      <c r="B77" s="6" t="s">
        <v>14</v>
      </c>
      <c r="C77" s="6" t="s">
        <v>39</v>
      </c>
      <c r="D77" s="6" t="s">
        <v>40</v>
      </c>
      <c r="E77" s="6">
        <v>5</v>
      </c>
      <c r="F77" s="7">
        <v>85000</v>
      </c>
      <c r="G77" s="6" t="s">
        <v>47</v>
      </c>
      <c r="H77" s="6" t="s">
        <v>54</v>
      </c>
      <c r="I77" s="8">
        <f t="shared" si="1"/>
        <v>425000</v>
      </c>
    </row>
    <row r="78" spans="1:9" x14ac:dyDescent="0.25">
      <c r="A78" s="5">
        <v>45669</v>
      </c>
      <c r="B78" s="6" t="s">
        <v>19</v>
      </c>
      <c r="C78" s="6" t="s">
        <v>15</v>
      </c>
      <c r="D78" s="6" t="s">
        <v>16</v>
      </c>
      <c r="E78" s="6">
        <v>17</v>
      </c>
      <c r="F78" s="7">
        <v>350000</v>
      </c>
      <c r="G78" s="6" t="s">
        <v>46</v>
      </c>
      <c r="H78" s="6" t="s">
        <v>44</v>
      </c>
      <c r="I78" s="8">
        <f t="shared" si="1"/>
        <v>5950000</v>
      </c>
    </row>
    <row r="79" spans="1:9" x14ac:dyDescent="0.25">
      <c r="A79" s="5">
        <v>45680</v>
      </c>
      <c r="B79" s="6" t="s">
        <v>19</v>
      </c>
      <c r="C79" s="6" t="s">
        <v>15</v>
      </c>
      <c r="D79" s="6" t="s">
        <v>16</v>
      </c>
      <c r="E79" s="6">
        <v>13</v>
      </c>
      <c r="F79" s="7">
        <v>350000</v>
      </c>
      <c r="G79" s="6" t="s">
        <v>22</v>
      </c>
      <c r="H79" s="6" t="s">
        <v>44</v>
      </c>
      <c r="I79" s="8">
        <f t="shared" si="1"/>
        <v>4550000</v>
      </c>
    </row>
    <row r="80" spans="1:9" x14ac:dyDescent="0.25">
      <c r="A80" s="5">
        <v>45782</v>
      </c>
      <c r="B80" s="6" t="s">
        <v>19</v>
      </c>
      <c r="C80" s="6" t="s">
        <v>15</v>
      </c>
      <c r="D80" s="6" t="s">
        <v>16</v>
      </c>
      <c r="E80" s="6">
        <v>8</v>
      </c>
      <c r="F80" s="7">
        <v>350000</v>
      </c>
      <c r="G80" s="6" t="s">
        <v>17</v>
      </c>
      <c r="H80" s="6" t="s">
        <v>49</v>
      </c>
      <c r="I80" s="8">
        <f t="shared" si="1"/>
        <v>2800000</v>
      </c>
    </row>
    <row r="81" spans="1:9" x14ac:dyDescent="0.25">
      <c r="A81" s="5">
        <v>45796</v>
      </c>
      <c r="B81" s="6" t="s">
        <v>9</v>
      </c>
      <c r="C81" s="6" t="s">
        <v>39</v>
      </c>
      <c r="D81" s="6" t="s">
        <v>40</v>
      </c>
      <c r="E81" s="6">
        <v>13</v>
      </c>
      <c r="F81" s="7">
        <v>85000</v>
      </c>
      <c r="G81" s="6" t="s">
        <v>33</v>
      </c>
      <c r="H81" s="6" t="s">
        <v>49</v>
      </c>
      <c r="I81" s="8">
        <f t="shared" si="1"/>
        <v>1105000</v>
      </c>
    </row>
    <row r="82" spans="1:9" x14ac:dyDescent="0.25">
      <c r="A82" s="5">
        <v>45751</v>
      </c>
      <c r="B82" s="6" t="s">
        <v>14</v>
      </c>
      <c r="C82" s="6" t="s">
        <v>37</v>
      </c>
      <c r="D82" s="6" t="s">
        <v>21</v>
      </c>
      <c r="E82" s="6">
        <v>17</v>
      </c>
      <c r="F82" s="7">
        <v>150000</v>
      </c>
      <c r="G82" s="6" t="s">
        <v>22</v>
      </c>
      <c r="H82" s="6" t="s">
        <v>18</v>
      </c>
      <c r="I82" s="8">
        <f t="shared" si="1"/>
        <v>2550000</v>
      </c>
    </row>
    <row r="83" spans="1:9" x14ac:dyDescent="0.25">
      <c r="A83" s="5">
        <v>45714</v>
      </c>
      <c r="B83" s="6" t="s">
        <v>9</v>
      </c>
      <c r="C83" s="6" t="s">
        <v>25</v>
      </c>
      <c r="D83" s="6" t="s">
        <v>26</v>
      </c>
      <c r="E83" s="6">
        <v>19</v>
      </c>
      <c r="F83" s="7">
        <v>65000</v>
      </c>
      <c r="G83" s="6" t="s">
        <v>47</v>
      </c>
      <c r="H83" s="6" t="s">
        <v>48</v>
      </c>
      <c r="I83" s="8">
        <f t="shared" si="1"/>
        <v>1235000</v>
      </c>
    </row>
    <row r="84" spans="1:9" x14ac:dyDescent="0.25">
      <c r="A84" s="5">
        <v>45811</v>
      </c>
      <c r="B84" s="6" t="s">
        <v>19</v>
      </c>
      <c r="C84" s="6" t="s">
        <v>37</v>
      </c>
      <c r="D84" s="6" t="s">
        <v>21</v>
      </c>
      <c r="E84" s="6">
        <v>1</v>
      </c>
      <c r="F84" s="7">
        <v>150000</v>
      </c>
      <c r="G84" s="6" t="s">
        <v>47</v>
      </c>
      <c r="H84" s="6" t="s">
        <v>54</v>
      </c>
      <c r="I84" s="8">
        <f t="shared" si="1"/>
        <v>150000</v>
      </c>
    </row>
    <row r="85" spans="1:9" x14ac:dyDescent="0.25">
      <c r="A85" s="5">
        <v>45752</v>
      </c>
      <c r="B85" s="6" t="s">
        <v>14</v>
      </c>
      <c r="C85" s="6" t="s">
        <v>10</v>
      </c>
      <c r="D85" s="6" t="s">
        <v>11</v>
      </c>
      <c r="E85" s="6">
        <v>13</v>
      </c>
      <c r="F85" s="7">
        <v>250000</v>
      </c>
      <c r="G85" s="6" t="s">
        <v>43</v>
      </c>
      <c r="H85" s="6" t="s">
        <v>49</v>
      </c>
      <c r="I85" s="8">
        <f t="shared" si="1"/>
        <v>3250000</v>
      </c>
    </row>
    <row r="86" spans="1:9" x14ac:dyDescent="0.25">
      <c r="A86" s="5">
        <v>45687</v>
      </c>
      <c r="B86" s="6" t="s">
        <v>14</v>
      </c>
      <c r="C86" s="6" t="s">
        <v>25</v>
      </c>
      <c r="D86" s="6" t="s">
        <v>26</v>
      </c>
      <c r="E86" s="6">
        <v>18</v>
      </c>
      <c r="F86" s="7">
        <v>65000</v>
      </c>
      <c r="G86" s="6" t="s">
        <v>43</v>
      </c>
      <c r="H86" s="6" t="s">
        <v>51</v>
      </c>
      <c r="I86" s="8">
        <f t="shared" si="1"/>
        <v>1170000</v>
      </c>
    </row>
    <row r="87" spans="1:9" x14ac:dyDescent="0.25">
      <c r="A87" s="5">
        <v>45688</v>
      </c>
      <c r="B87" s="6" t="s">
        <v>19</v>
      </c>
      <c r="C87" s="6" t="s">
        <v>10</v>
      </c>
      <c r="D87" s="6" t="s">
        <v>11</v>
      </c>
      <c r="E87" s="6">
        <v>20</v>
      </c>
      <c r="F87" s="7">
        <v>250000</v>
      </c>
      <c r="G87" s="6" t="s">
        <v>33</v>
      </c>
      <c r="H87" s="6" t="s">
        <v>41</v>
      </c>
      <c r="I87" s="8">
        <f t="shared" si="1"/>
        <v>5000000</v>
      </c>
    </row>
    <row r="88" spans="1:9" x14ac:dyDescent="0.25">
      <c r="A88" s="5">
        <v>45804</v>
      </c>
      <c r="B88" s="6" t="s">
        <v>14</v>
      </c>
      <c r="C88" s="6" t="s">
        <v>20</v>
      </c>
      <c r="D88" s="6" t="s">
        <v>21</v>
      </c>
      <c r="E88" s="6">
        <v>4</v>
      </c>
      <c r="F88" s="7">
        <v>180000</v>
      </c>
      <c r="G88" s="6" t="s">
        <v>33</v>
      </c>
      <c r="H88" s="6" t="s">
        <v>18</v>
      </c>
      <c r="I88" s="8">
        <f t="shared" si="1"/>
        <v>720000</v>
      </c>
    </row>
    <row r="89" spans="1:9" x14ac:dyDescent="0.25">
      <c r="A89" s="5">
        <v>45755</v>
      </c>
      <c r="B89" s="6" t="s">
        <v>9</v>
      </c>
      <c r="C89" s="6" t="s">
        <v>37</v>
      </c>
      <c r="D89" s="6" t="s">
        <v>21</v>
      </c>
      <c r="E89" s="6">
        <v>5</v>
      </c>
      <c r="F89" s="7">
        <v>150000</v>
      </c>
      <c r="G89" s="6" t="s">
        <v>43</v>
      </c>
      <c r="H89" s="6" t="s">
        <v>38</v>
      </c>
      <c r="I89" s="8">
        <f t="shared" si="1"/>
        <v>750000</v>
      </c>
    </row>
    <row r="90" spans="1:9" x14ac:dyDescent="0.25">
      <c r="A90" s="5">
        <v>45701</v>
      </c>
      <c r="B90" s="6" t="s">
        <v>29</v>
      </c>
      <c r="C90" s="6" t="s">
        <v>10</v>
      </c>
      <c r="D90" s="6" t="s">
        <v>11</v>
      </c>
      <c r="E90" s="6">
        <v>11</v>
      </c>
      <c r="F90" s="7">
        <v>250000</v>
      </c>
      <c r="G90" s="6" t="s">
        <v>22</v>
      </c>
      <c r="H90" s="6" t="s">
        <v>41</v>
      </c>
      <c r="I90" s="8">
        <f t="shared" si="1"/>
        <v>2750000</v>
      </c>
    </row>
    <row r="91" spans="1:9" x14ac:dyDescent="0.25">
      <c r="A91" s="5">
        <v>45725</v>
      </c>
      <c r="B91" s="6" t="s">
        <v>14</v>
      </c>
      <c r="C91" s="6" t="s">
        <v>10</v>
      </c>
      <c r="D91" s="6" t="s">
        <v>11</v>
      </c>
      <c r="E91" s="6">
        <v>20</v>
      </c>
      <c r="F91" s="7">
        <v>250000</v>
      </c>
      <c r="G91" s="6" t="s">
        <v>17</v>
      </c>
      <c r="H91" s="6" t="s">
        <v>48</v>
      </c>
      <c r="I91" s="8">
        <f t="shared" si="1"/>
        <v>5000000</v>
      </c>
    </row>
    <row r="92" spans="1:9" x14ac:dyDescent="0.25">
      <c r="A92" s="5">
        <v>45708</v>
      </c>
      <c r="B92" s="6" t="s">
        <v>29</v>
      </c>
      <c r="C92" s="6" t="s">
        <v>39</v>
      </c>
      <c r="D92" s="6" t="s">
        <v>40</v>
      </c>
      <c r="E92" s="6">
        <v>7</v>
      </c>
      <c r="F92" s="7">
        <v>85000</v>
      </c>
      <c r="G92" s="6" t="s">
        <v>22</v>
      </c>
      <c r="H92" s="6" t="s">
        <v>48</v>
      </c>
      <c r="I92" s="8">
        <f t="shared" si="1"/>
        <v>595000</v>
      </c>
    </row>
    <row r="93" spans="1:9" x14ac:dyDescent="0.25">
      <c r="A93" s="5">
        <v>45707</v>
      </c>
      <c r="B93" s="6" t="s">
        <v>14</v>
      </c>
      <c r="C93" s="6" t="s">
        <v>10</v>
      </c>
      <c r="D93" s="6" t="s">
        <v>11</v>
      </c>
      <c r="E93" s="6">
        <v>5</v>
      </c>
      <c r="F93" s="7">
        <v>250000</v>
      </c>
      <c r="G93" s="6" t="s">
        <v>46</v>
      </c>
      <c r="H93" s="6" t="s">
        <v>51</v>
      </c>
      <c r="I93" s="8">
        <f t="shared" si="1"/>
        <v>1250000</v>
      </c>
    </row>
    <row r="94" spans="1:9" x14ac:dyDescent="0.25">
      <c r="A94" s="5">
        <v>45757</v>
      </c>
      <c r="B94" s="6" t="s">
        <v>14</v>
      </c>
      <c r="C94" s="6" t="s">
        <v>35</v>
      </c>
      <c r="D94" s="6" t="s">
        <v>36</v>
      </c>
      <c r="E94" s="6">
        <v>19</v>
      </c>
      <c r="F94" s="7">
        <v>175000</v>
      </c>
      <c r="G94" s="6" t="s">
        <v>46</v>
      </c>
      <c r="H94" s="6" t="s">
        <v>42</v>
      </c>
      <c r="I94" s="8">
        <f t="shared" si="1"/>
        <v>3325000</v>
      </c>
    </row>
    <row r="95" spans="1:9" x14ac:dyDescent="0.25">
      <c r="A95" s="5">
        <v>45798</v>
      </c>
      <c r="B95" s="6" t="s">
        <v>14</v>
      </c>
      <c r="C95" s="6" t="s">
        <v>15</v>
      </c>
      <c r="D95" s="6" t="s">
        <v>16</v>
      </c>
      <c r="E95" s="6">
        <v>14</v>
      </c>
      <c r="F95" s="7">
        <v>350000</v>
      </c>
      <c r="G95" s="6" t="s">
        <v>47</v>
      </c>
      <c r="H95" s="6" t="s">
        <v>18</v>
      </c>
      <c r="I95" s="8">
        <f t="shared" si="1"/>
        <v>4900000</v>
      </c>
    </row>
    <row r="96" spans="1:9" x14ac:dyDescent="0.25">
      <c r="A96" s="5">
        <v>45834</v>
      </c>
      <c r="B96" s="6" t="s">
        <v>14</v>
      </c>
      <c r="C96" s="6" t="s">
        <v>35</v>
      </c>
      <c r="D96" s="6" t="s">
        <v>36</v>
      </c>
      <c r="E96" s="6">
        <v>20</v>
      </c>
      <c r="F96" s="7">
        <v>175000</v>
      </c>
      <c r="G96" s="6" t="s">
        <v>46</v>
      </c>
      <c r="H96" s="6" t="s">
        <v>13</v>
      </c>
      <c r="I96" s="8">
        <f t="shared" si="1"/>
        <v>3500000</v>
      </c>
    </row>
    <row r="97" spans="1:9" x14ac:dyDescent="0.25">
      <c r="A97" s="5">
        <v>45708</v>
      </c>
      <c r="B97" s="6" t="s">
        <v>9</v>
      </c>
      <c r="C97" s="6" t="s">
        <v>39</v>
      </c>
      <c r="D97" s="6" t="s">
        <v>40</v>
      </c>
      <c r="E97" s="6">
        <v>18</v>
      </c>
      <c r="F97" s="7">
        <v>85000</v>
      </c>
      <c r="G97" s="6" t="s">
        <v>12</v>
      </c>
      <c r="H97" s="6" t="s">
        <v>45</v>
      </c>
      <c r="I97" s="8">
        <f t="shared" si="1"/>
        <v>1530000</v>
      </c>
    </row>
    <row r="98" spans="1:9" x14ac:dyDescent="0.25">
      <c r="A98" s="5">
        <v>45835</v>
      </c>
      <c r="B98" s="6" t="s">
        <v>19</v>
      </c>
      <c r="C98" s="6" t="s">
        <v>35</v>
      </c>
      <c r="D98" s="6" t="s">
        <v>36</v>
      </c>
      <c r="E98" s="6">
        <v>17</v>
      </c>
      <c r="F98" s="7">
        <v>175000</v>
      </c>
      <c r="G98" s="6" t="s">
        <v>17</v>
      </c>
      <c r="H98" s="6" t="s">
        <v>44</v>
      </c>
      <c r="I98" s="8">
        <f t="shared" si="1"/>
        <v>2975000</v>
      </c>
    </row>
    <row r="99" spans="1:9" x14ac:dyDescent="0.25">
      <c r="A99" s="5">
        <v>45693</v>
      </c>
      <c r="B99" s="6" t="s">
        <v>9</v>
      </c>
      <c r="C99" s="6" t="s">
        <v>10</v>
      </c>
      <c r="D99" s="6" t="s">
        <v>11</v>
      </c>
      <c r="E99" s="6">
        <v>20</v>
      </c>
      <c r="F99" s="7">
        <v>250000</v>
      </c>
      <c r="G99" s="6" t="s">
        <v>22</v>
      </c>
      <c r="H99" s="6" t="s">
        <v>18</v>
      </c>
      <c r="I99" s="8">
        <f t="shared" si="1"/>
        <v>5000000</v>
      </c>
    </row>
    <row r="100" spans="1:9" x14ac:dyDescent="0.25">
      <c r="A100" s="5">
        <v>45815</v>
      </c>
      <c r="B100" s="6" t="s">
        <v>9</v>
      </c>
      <c r="C100" s="6" t="s">
        <v>15</v>
      </c>
      <c r="D100" s="6" t="s">
        <v>16</v>
      </c>
      <c r="E100" s="6">
        <v>20</v>
      </c>
      <c r="F100" s="7">
        <v>350000</v>
      </c>
      <c r="G100" s="6" t="s">
        <v>12</v>
      </c>
      <c r="H100" s="6" t="s">
        <v>48</v>
      </c>
      <c r="I100" s="8">
        <f t="shared" si="1"/>
        <v>7000000</v>
      </c>
    </row>
    <row r="101" spans="1:9" x14ac:dyDescent="0.25">
      <c r="A101" s="5">
        <v>45790</v>
      </c>
      <c r="B101" s="6" t="s">
        <v>29</v>
      </c>
      <c r="C101" s="6" t="s">
        <v>37</v>
      </c>
      <c r="D101" s="6" t="s">
        <v>21</v>
      </c>
      <c r="E101" s="6">
        <v>18</v>
      </c>
      <c r="F101" s="7">
        <v>150000</v>
      </c>
      <c r="G101" s="6" t="s">
        <v>47</v>
      </c>
      <c r="H101" s="6" t="s">
        <v>38</v>
      </c>
      <c r="I101" s="8">
        <f t="shared" si="1"/>
        <v>2700000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BOLARINWA</dc:creator>
  <cp:lastModifiedBy>BOLARINWA</cp:lastModifiedBy>
  <dcterms:created xsi:type="dcterms:W3CDTF">2026-01-17T21:36:26Z</dcterms:created>
  <dcterms:modified xsi:type="dcterms:W3CDTF">2026-01-17T21:37:57Z</dcterms:modified>
</cp:coreProperties>
</file>